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4C67BF9-29D4-412B-81B8-3AB40A5B1D9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os" sheetId="1" r:id="rId1"/>
    <sheet name="Metricas" sheetId="2" r:id="rId2"/>
  </sheets>
  <calcPr calcId="181029" iterateDelta="1E-4"/>
</workbook>
</file>

<file path=xl/calcChain.xml><?xml version="1.0" encoding="utf-8"?>
<calcChain xmlns="http://schemas.openxmlformats.org/spreadsheetml/2006/main">
  <c r="D35" i="2" l="1"/>
  <c r="D36" i="2"/>
  <c r="D34" i="2"/>
  <c r="D33" i="2"/>
  <c r="D32" i="2"/>
  <c r="D31" i="2"/>
  <c r="B27" i="2"/>
  <c r="C27" i="2" s="1"/>
  <c r="B26" i="2"/>
  <c r="C26" i="2" s="1"/>
  <c r="B22" i="2"/>
  <c r="C22" i="2" s="1"/>
  <c r="B21" i="2"/>
  <c r="C21" i="2" s="1"/>
  <c r="B20" i="2"/>
  <c r="C20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6" i="2"/>
  <c r="B7" i="2" s="1"/>
  <c r="D37" i="2" l="1"/>
</calcChain>
</file>

<file path=xl/sharedStrings.xml><?xml version="1.0" encoding="utf-8"?>
<sst xmlns="http://schemas.openxmlformats.org/spreadsheetml/2006/main" count="114" uniqueCount="63">
  <si>
    <t>N</t>
  </si>
  <si>
    <t>Tipo</t>
  </si>
  <si>
    <t>Severidad</t>
  </si>
  <si>
    <t>Detectado por</t>
  </si>
  <si>
    <t>D-01</t>
  </si>
  <si>
    <t>Ambiguedad</t>
  </si>
  <si>
    <t>Menor</t>
  </si>
  <si>
    <t>Ariel Castro</t>
  </si>
  <si>
    <t>D-02</t>
  </si>
  <si>
    <t>Consistencia</t>
  </si>
  <si>
    <t>Mayor</t>
  </si>
  <si>
    <t>D-03</t>
  </si>
  <si>
    <t>Completitud</t>
  </si>
  <si>
    <t>Ariel Castro y Rosselyn Sanchez</t>
  </si>
  <si>
    <t>D-04</t>
  </si>
  <si>
    <t>D-05</t>
  </si>
  <si>
    <t>D-06</t>
  </si>
  <si>
    <t>D-07</t>
  </si>
  <si>
    <t>D-08</t>
  </si>
  <si>
    <t>Verificabilidad</t>
  </si>
  <si>
    <t>D-09</t>
  </si>
  <si>
    <t>Critico</t>
  </si>
  <si>
    <t>Rosselyn Sanchez</t>
  </si>
  <si>
    <t>D-10</t>
  </si>
  <si>
    <t>Trazabilidad</t>
  </si>
  <si>
    <t>D-11</t>
  </si>
  <si>
    <t>D-12</t>
  </si>
  <si>
    <t>D-13</t>
  </si>
  <si>
    <t>D-14</t>
  </si>
  <si>
    <t>D-15</t>
  </si>
  <si>
    <t>D-16</t>
  </si>
  <si>
    <t>METRICAS DE LA INSPECCION FAGAN — PE4</t>
  </si>
  <si>
    <t>Paginas efectivas inspeccionadas (Sec.4 Requisitos funcionales a Sec.9 Legales, ERS_SRS_2A_v1.5.4, pag. 11-28 + verificacion matriz pag.78):</t>
  </si>
  <si>
    <t>1. Densidad de defectos</t>
  </si>
  <si>
    <t>Total de defectos consolidados</t>
  </si>
  <si>
    <t>Densidad (defectos / pagina)</t>
  </si>
  <si>
    <t>2. Distribucion por tipo</t>
  </si>
  <si>
    <t>Cantidad</t>
  </si>
  <si>
    <t>% del total</t>
  </si>
  <si>
    <t>Factibilidad</t>
  </si>
  <si>
    <t>3. Distribucion por severidad</t>
  </si>
  <si>
    <t>4. Tasa de deteccion por inspector</t>
  </si>
  <si>
    <t>Inspector</t>
  </si>
  <si>
    <t>Defectos detectados (bruto, incluye coincidentes)</t>
  </si>
  <si>
    <t>% del total consolidado</t>
  </si>
  <si>
    <t>5. Esfuerzo total (horas-persona)</t>
  </si>
  <si>
    <t>Actividad</t>
  </si>
  <si>
    <t>Participantes</t>
  </si>
  <si>
    <t>Horas c/u (editar)</t>
  </si>
  <si>
    <t>Horas-persona</t>
  </si>
  <si>
    <t>Planificacion (asignar roles y alcance)</t>
  </si>
  <si>
    <t>Preparacion individual - Ariel Castro (Inspector 1)</t>
  </si>
  <si>
    <t>Preparacion individual - Rosselyn Sanchez (Inspector 2)</t>
  </si>
  <si>
    <t>Preparacion/logistica - Erick Mera (Moderador/Lector)</t>
  </si>
  <si>
    <t>Reunion de inspeccion (max 90 min)</t>
  </si>
  <si>
    <t>Correccion de defectos criticos/mayores</t>
  </si>
  <si>
    <t>TOTAL</t>
  </si>
  <si>
    <t>- Densidad: indica cuantos defectos se encontraron por cada pagina revisada del ERS; una densidad alta senala secciones que necesitan mas rigor antes de pasar a diseno.</t>
  </si>
  <si>
    <t>- Distribucion por tipo: revela si el problema dominante del ERS es de redaccion (ambiguedad), de alcance (completitud) o de gestion (trazabilidad).</t>
  </si>
  <si>
    <t>- Distribucion por severidad: el peso de los defectos Mayor frente a Menor muestra si el documento requiere una revision estructural o solo ajustes puntuales.</t>
  </si>
  <si>
    <t>- Tasa de deteccion por inspector: una diferencia grande entre inspectores puede reflejar distinto nivel de familiaridad con el dominio, no necesariamente distinto esfuerzo.</t>
  </si>
  <si>
    <t>- Esfuerzo: compara el costo de la inspeccion contra el numero y severidad de los defectos evitados en fases posteriores, mas costosas de corregir.</t>
  </si>
  <si>
    <t>Interpretacion: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</si>
</sst>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6" fillId="0" borderId="0" xfId="0" applyFont="1"/>
    <xf numFmtId="2" fontId="0" fillId="0" borderId="0" xfId="0" applyNumberFormat="1"/>
    <xf numFmtId="164" fontId="0" fillId="0" borderId="0" xfId="0" applyNumberFormat="1"/>
    <xf numFmtId="0" fontId="0" fillId="3" borderId="0" xfId="0" applyFill="1"/>
  </cellXfs>
  <cellStyles count="2">
    <cellStyle name="Normal" xfId="0" builtinId="0"/>
    <cellStyle name="Normal 2" xfId="1" xr:uid="{B2B3B8EC-B580-4759-8DC6-A2E0E905296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Distribucion de defectos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Metricas!$B$10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Metricas!$A$11:$A$16</c:f>
              <c:strCache>
                <c:ptCount val="6"/>
                <c:pt idx="0">
                  <c:v>Ambiguedad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Metricas!$B$11:$B$16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0-41C2-ADAB-46A1D262D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77726"/>
        <c:axId val="82871387"/>
      </c:barChart>
      <c:catAx>
        <c:axId val="63777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2871387"/>
        <c:crosses val="autoZero"/>
        <c:auto val="1"/>
        <c:lblAlgn val="ctr"/>
        <c:lblOffset val="100"/>
        <c:noMultiLvlLbl val="0"/>
      </c:catAx>
      <c:valAx>
        <c:axId val="82871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3777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Distribucion de defectos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Metricas!$B$19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F23-4405-BD5C-76A1B14A0FA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23-4405-BD5C-76A1B14A0FA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23-4405-BD5C-76A1B14A0FA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F23-4405-BD5C-76A1B14A0FA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F23-4405-BD5C-76A1B14A0FA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F23-4405-BD5C-76A1B14A0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Metricas!$A$20:$A$22</c:f>
              <c:strCache>
                <c:ptCount val="3"/>
                <c:pt idx="0">
                  <c:v>Critico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Metricas!$B$20:$B$22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23-4405-BD5C-76A1B14A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13</xdr:col>
      <xdr:colOff>507600</xdr:colOff>
      <xdr:row>18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13</xdr:col>
      <xdr:colOff>507600</xdr:colOff>
      <xdr:row>33</xdr:row>
      <xdr:rowOff>16920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Normal="100" workbookViewId="0">
      <selection activeCell="H9" sqref="H9"/>
    </sheetView>
  </sheetViews>
  <sheetFormatPr baseColWidth="10" defaultColWidth="8.6640625" defaultRowHeight="14.4" x14ac:dyDescent="0.3"/>
  <cols>
    <col min="1" max="1" width="6" customWidth="1"/>
    <col min="2" max="2" width="16" customWidth="1"/>
    <col min="3" max="3" width="10" customWidth="1"/>
    <col min="4" max="4" width="30" customWidth="1"/>
    <col min="11" max="11" width="8.6640625" customWidth="1"/>
  </cols>
  <sheetData>
    <row r="1" spans="1:4" x14ac:dyDescent="0.3">
      <c r="A1" s="4"/>
    </row>
    <row r="3" spans="1:4" x14ac:dyDescent="0.3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3">
      <c r="A4" t="s">
        <v>4</v>
      </c>
      <c r="B4" t="s">
        <v>5</v>
      </c>
      <c r="C4" t="s">
        <v>6</v>
      </c>
      <c r="D4" t="s">
        <v>7</v>
      </c>
    </row>
    <row r="5" spans="1:4" x14ac:dyDescent="0.3">
      <c r="A5" t="s">
        <v>8</v>
      </c>
      <c r="B5" t="s">
        <v>9</v>
      </c>
      <c r="C5" t="s">
        <v>10</v>
      </c>
      <c r="D5" t="s">
        <v>7</v>
      </c>
    </row>
    <row r="6" spans="1:4" x14ac:dyDescent="0.3">
      <c r="A6" t="s">
        <v>11</v>
      </c>
      <c r="B6" t="s">
        <v>12</v>
      </c>
      <c r="C6" t="s">
        <v>10</v>
      </c>
      <c r="D6" t="s">
        <v>13</v>
      </c>
    </row>
    <row r="7" spans="1:4" x14ac:dyDescent="0.3">
      <c r="A7" t="s">
        <v>14</v>
      </c>
      <c r="B7" t="s">
        <v>12</v>
      </c>
      <c r="C7" t="s">
        <v>10</v>
      </c>
      <c r="D7" t="s">
        <v>7</v>
      </c>
    </row>
    <row r="8" spans="1:4" x14ac:dyDescent="0.3">
      <c r="A8" t="s">
        <v>15</v>
      </c>
      <c r="B8" t="s">
        <v>5</v>
      </c>
      <c r="C8" t="s">
        <v>6</v>
      </c>
      <c r="D8" t="s">
        <v>7</v>
      </c>
    </row>
    <row r="9" spans="1:4" x14ac:dyDescent="0.3">
      <c r="A9" t="s">
        <v>16</v>
      </c>
      <c r="B9" t="s">
        <v>5</v>
      </c>
      <c r="C9" t="s">
        <v>10</v>
      </c>
      <c r="D9" t="s">
        <v>7</v>
      </c>
    </row>
    <row r="10" spans="1:4" x14ac:dyDescent="0.3">
      <c r="A10" t="s">
        <v>17</v>
      </c>
      <c r="B10" t="s">
        <v>5</v>
      </c>
      <c r="C10" t="s">
        <v>6</v>
      </c>
      <c r="D10" t="s">
        <v>7</v>
      </c>
    </row>
    <row r="11" spans="1:4" x14ac:dyDescent="0.3">
      <c r="A11" t="s">
        <v>18</v>
      </c>
      <c r="B11" t="s">
        <v>19</v>
      </c>
      <c r="C11" t="s">
        <v>10</v>
      </c>
      <c r="D11" t="s">
        <v>7</v>
      </c>
    </row>
    <row r="12" spans="1:4" x14ac:dyDescent="0.3">
      <c r="A12" t="s">
        <v>20</v>
      </c>
      <c r="B12" t="s">
        <v>9</v>
      </c>
      <c r="C12" t="s">
        <v>21</v>
      </c>
      <c r="D12" t="s">
        <v>22</v>
      </c>
    </row>
    <row r="13" spans="1:4" x14ac:dyDescent="0.3">
      <c r="A13" t="s">
        <v>23</v>
      </c>
      <c r="B13" t="s">
        <v>24</v>
      </c>
      <c r="C13" t="s">
        <v>10</v>
      </c>
      <c r="D13" t="s">
        <v>22</v>
      </c>
    </row>
    <row r="14" spans="1:4" x14ac:dyDescent="0.3">
      <c r="A14" t="s">
        <v>25</v>
      </c>
      <c r="B14" t="s">
        <v>5</v>
      </c>
      <c r="C14" t="s">
        <v>6</v>
      </c>
      <c r="D14" t="s">
        <v>22</v>
      </c>
    </row>
    <row r="15" spans="1:4" x14ac:dyDescent="0.3">
      <c r="A15" t="s">
        <v>26</v>
      </c>
      <c r="B15" t="s">
        <v>24</v>
      </c>
      <c r="C15" t="s">
        <v>10</v>
      </c>
      <c r="D15" t="s">
        <v>22</v>
      </c>
    </row>
    <row r="16" spans="1:4" x14ac:dyDescent="0.3">
      <c r="A16" t="s">
        <v>27</v>
      </c>
      <c r="B16" t="s">
        <v>19</v>
      </c>
      <c r="C16" t="s">
        <v>6</v>
      </c>
      <c r="D16" t="s">
        <v>22</v>
      </c>
    </row>
    <row r="17" spans="1:4" x14ac:dyDescent="0.3">
      <c r="A17" t="s">
        <v>28</v>
      </c>
      <c r="B17" t="s">
        <v>19</v>
      </c>
      <c r="C17" t="s">
        <v>6</v>
      </c>
      <c r="D17" t="s">
        <v>22</v>
      </c>
    </row>
    <row r="18" spans="1:4" x14ac:dyDescent="0.3">
      <c r="A18" t="s">
        <v>29</v>
      </c>
      <c r="B18" t="s">
        <v>9</v>
      </c>
      <c r="C18" t="s">
        <v>10</v>
      </c>
      <c r="D18" t="s">
        <v>22</v>
      </c>
    </row>
    <row r="19" spans="1:4" x14ac:dyDescent="0.3">
      <c r="A19" t="s">
        <v>30</v>
      </c>
      <c r="B19" t="s">
        <v>24</v>
      </c>
      <c r="C19" t="s">
        <v>10</v>
      </c>
      <c r="D19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topLeftCell="A31" zoomScaleNormal="100" workbookViewId="0">
      <selection activeCell="D5" sqref="D5"/>
    </sheetView>
  </sheetViews>
  <sheetFormatPr baseColWidth="10" defaultColWidth="8.6640625" defaultRowHeight="14.4" x14ac:dyDescent="0.3"/>
  <cols>
    <col min="1" max="1" width="46" customWidth="1"/>
    <col min="2" max="2" width="14" customWidth="1"/>
    <col min="3" max="4" width="16" customWidth="1"/>
    <col min="5" max="5" width="30" customWidth="1"/>
  </cols>
  <sheetData>
    <row r="1" spans="1:5" ht="15.6" x14ac:dyDescent="0.3">
      <c r="A1" s="3" t="s">
        <v>31</v>
      </c>
      <c r="B1" s="3"/>
      <c r="C1" s="3"/>
      <c r="D1" s="3"/>
    </row>
    <row r="3" spans="1:5" x14ac:dyDescent="0.3">
      <c r="A3" s="2" t="s">
        <v>32</v>
      </c>
      <c r="B3" s="2"/>
      <c r="C3" s="2"/>
      <c r="D3" s="6">
        <v>19</v>
      </c>
      <c r="E3" s="7"/>
    </row>
    <row r="5" spans="1:5" x14ac:dyDescent="0.3">
      <c r="A5" s="4" t="s">
        <v>33</v>
      </c>
    </row>
    <row r="6" spans="1:5" x14ac:dyDescent="0.3">
      <c r="A6" t="s">
        <v>34</v>
      </c>
      <c r="B6">
        <f>COUNTA(Datos!A4:A19)</f>
        <v>16</v>
      </c>
    </row>
    <row r="7" spans="1:5" x14ac:dyDescent="0.3">
      <c r="A7" t="s">
        <v>35</v>
      </c>
      <c r="B7" s="8">
        <f>B6/D3</f>
        <v>0.84210526315789469</v>
      </c>
    </row>
    <row r="9" spans="1:5" x14ac:dyDescent="0.3">
      <c r="A9" s="4" t="s">
        <v>36</v>
      </c>
    </row>
    <row r="10" spans="1:5" x14ac:dyDescent="0.3">
      <c r="A10" s="5" t="s">
        <v>1</v>
      </c>
      <c r="B10" s="5" t="s">
        <v>37</v>
      </c>
      <c r="C10" s="5" t="s">
        <v>38</v>
      </c>
    </row>
    <row r="11" spans="1:5" x14ac:dyDescent="0.3">
      <c r="A11" t="s">
        <v>5</v>
      </c>
      <c r="B11">
        <f>COUNTIF(Datos!$B$4:$B$19,A11)</f>
        <v>5</v>
      </c>
      <c r="C11" s="9">
        <f t="shared" ref="C11:C16" si="0">B11/$B$6</f>
        <v>0.3125</v>
      </c>
    </row>
    <row r="12" spans="1:5" x14ac:dyDescent="0.3">
      <c r="A12" t="s">
        <v>12</v>
      </c>
      <c r="B12">
        <f>COUNTIF(Datos!$B$4:$B$19,A12)</f>
        <v>2</v>
      </c>
      <c r="C12" s="9">
        <f t="shared" si="0"/>
        <v>0.125</v>
      </c>
    </row>
    <row r="13" spans="1:5" x14ac:dyDescent="0.3">
      <c r="A13" t="s">
        <v>9</v>
      </c>
      <c r="B13">
        <f>COUNTIF(Datos!$B$4:$B$19,A13)</f>
        <v>3</v>
      </c>
      <c r="C13" s="9">
        <f t="shared" si="0"/>
        <v>0.1875</v>
      </c>
    </row>
    <row r="14" spans="1:5" x14ac:dyDescent="0.3">
      <c r="A14" t="s">
        <v>19</v>
      </c>
      <c r="B14">
        <f>COUNTIF(Datos!$B$4:$B$19,A14)</f>
        <v>3</v>
      </c>
      <c r="C14" s="9">
        <f t="shared" si="0"/>
        <v>0.1875</v>
      </c>
    </row>
    <row r="15" spans="1:5" x14ac:dyDescent="0.3">
      <c r="A15" t="s">
        <v>24</v>
      </c>
      <c r="B15">
        <f>COUNTIF(Datos!$B$4:$B$19,A15)</f>
        <v>3</v>
      </c>
      <c r="C15" s="9">
        <f t="shared" si="0"/>
        <v>0.1875</v>
      </c>
    </row>
    <row r="16" spans="1:5" x14ac:dyDescent="0.3">
      <c r="A16" t="s">
        <v>39</v>
      </c>
      <c r="B16">
        <f>COUNTIF(Datos!$B$4:$B$19,A16)</f>
        <v>0</v>
      </c>
      <c r="C16" s="9">
        <f t="shared" si="0"/>
        <v>0</v>
      </c>
    </row>
    <row r="18" spans="1:4" x14ac:dyDescent="0.3">
      <c r="A18" s="4" t="s">
        <v>40</v>
      </c>
    </row>
    <row r="19" spans="1:4" x14ac:dyDescent="0.3">
      <c r="A19" s="5" t="s">
        <v>2</v>
      </c>
      <c r="B19" s="5" t="s">
        <v>37</v>
      </c>
      <c r="C19" s="5" t="s">
        <v>38</v>
      </c>
    </row>
    <row r="20" spans="1:4" x14ac:dyDescent="0.3">
      <c r="A20" t="s">
        <v>21</v>
      </c>
      <c r="B20">
        <f>COUNTIF(Datos!$C$4:$C$19,A20)</f>
        <v>1</v>
      </c>
      <c r="C20" s="9">
        <f>B20/$B$6</f>
        <v>6.25E-2</v>
      </c>
    </row>
    <row r="21" spans="1:4" x14ac:dyDescent="0.3">
      <c r="A21" t="s">
        <v>10</v>
      </c>
      <c r="B21">
        <f>COUNTIF(Datos!$C$4:$C$19,A21)</f>
        <v>9</v>
      </c>
      <c r="C21" s="9">
        <f>B21/$B$6</f>
        <v>0.5625</v>
      </c>
    </row>
    <row r="22" spans="1:4" x14ac:dyDescent="0.3">
      <c r="A22" t="s">
        <v>6</v>
      </c>
      <c r="B22">
        <f>COUNTIF(Datos!$C$4:$C$19,A22)</f>
        <v>6</v>
      </c>
      <c r="C22" s="9">
        <f>B22/$B$6</f>
        <v>0.375</v>
      </c>
    </row>
    <row r="24" spans="1:4" x14ac:dyDescent="0.3">
      <c r="A24" s="4" t="s">
        <v>41</v>
      </c>
    </row>
    <row r="25" spans="1:4" ht="52.8" x14ac:dyDescent="0.3">
      <c r="A25" s="5" t="s">
        <v>42</v>
      </c>
      <c r="B25" s="5" t="s">
        <v>43</v>
      </c>
      <c r="C25" s="5" t="s">
        <v>44</v>
      </c>
    </row>
    <row r="26" spans="1:4" x14ac:dyDescent="0.3">
      <c r="A26" t="s">
        <v>7</v>
      </c>
      <c r="B26">
        <f>SUMPRODUCT(--ISNUMBER(SEARCH(A26,Datos!$D$4:$D$19)))</f>
        <v>8</v>
      </c>
      <c r="C26" s="9">
        <f>B26/$B$6</f>
        <v>0.5</v>
      </c>
    </row>
    <row r="27" spans="1:4" x14ac:dyDescent="0.3">
      <c r="A27" t="s">
        <v>22</v>
      </c>
      <c r="B27">
        <f>SUMPRODUCT(--ISNUMBER(SEARCH(A27,Datos!$D$4:$D$19)))</f>
        <v>9</v>
      </c>
      <c r="C27" s="9">
        <f>B27/$B$6</f>
        <v>0.5625</v>
      </c>
    </row>
    <row r="29" spans="1:4" x14ac:dyDescent="0.3">
      <c r="A29" s="4" t="s">
        <v>45</v>
      </c>
    </row>
    <row r="30" spans="1:4" ht="26.4" x14ac:dyDescent="0.3">
      <c r="A30" s="5" t="s">
        <v>46</v>
      </c>
      <c r="B30" s="5" t="s">
        <v>47</v>
      </c>
      <c r="C30" s="5" t="s">
        <v>48</v>
      </c>
      <c r="D30" s="5" t="s">
        <v>49</v>
      </c>
    </row>
    <row r="31" spans="1:4" x14ac:dyDescent="0.3">
      <c r="A31" t="s">
        <v>50</v>
      </c>
      <c r="B31">
        <v>3</v>
      </c>
      <c r="C31" s="10">
        <v>0.5</v>
      </c>
      <c r="D31">
        <f t="shared" ref="D31:D36" si="1">B31*C31</f>
        <v>1.5</v>
      </c>
    </row>
    <row r="32" spans="1:4" x14ac:dyDescent="0.3">
      <c r="A32" t="s">
        <v>51</v>
      </c>
      <c r="B32">
        <v>1</v>
      </c>
      <c r="C32" s="10">
        <v>1.5</v>
      </c>
      <c r="D32">
        <f t="shared" si="1"/>
        <v>1.5</v>
      </c>
    </row>
    <row r="33" spans="1:4" x14ac:dyDescent="0.3">
      <c r="A33" t="s">
        <v>52</v>
      </c>
      <c r="B33">
        <v>1</v>
      </c>
      <c r="C33" s="10">
        <v>1.5</v>
      </c>
      <c r="D33">
        <f t="shared" si="1"/>
        <v>1.5</v>
      </c>
    </row>
    <row r="34" spans="1:4" x14ac:dyDescent="0.3">
      <c r="A34" t="s">
        <v>53</v>
      </c>
      <c r="B34">
        <v>1</v>
      </c>
      <c r="C34" s="10">
        <v>0.5</v>
      </c>
      <c r="D34">
        <f t="shared" si="1"/>
        <v>0.5</v>
      </c>
    </row>
    <row r="35" spans="1:4" x14ac:dyDescent="0.3">
      <c r="A35" t="s">
        <v>54</v>
      </c>
      <c r="B35">
        <v>3</v>
      </c>
      <c r="C35" s="10">
        <v>1.1000000000000001</v>
      </c>
      <c r="D35">
        <f>B35*C35</f>
        <v>3.3000000000000003</v>
      </c>
    </row>
    <row r="36" spans="1:4" x14ac:dyDescent="0.3">
      <c r="A36" t="s">
        <v>55</v>
      </c>
      <c r="B36">
        <v>1</v>
      </c>
      <c r="C36" s="10">
        <v>1.5</v>
      </c>
      <c r="D36">
        <f t="shared" si="1"/>
        <v>1.5</v>
      </c>
    </row>
    <row r="37" spans="1:4" x14ac:dyDescent="0.3">
      <c r="A37" s="4" t="s">
        <v>56</v>
      </c>
      <c r="D37" s="4">
        <f>SUM(D31:D36)</f>
        <v>9.8000000000000007</v>
      </c>
    </row>
    <row r="39" spans="1:4" x14ac:dyDescent="0.3">
      <c r="A39" s="4" t="s">
        <v>62</v>
      </c>
    </row>
    <row r="40" spans="1:4" ht="28.35" customHeight="1" x14ac:dyDescent="0.3">
      <c r="A40" s="1" t="s">
        <v>57</v>
      </c>
      <c r="B40" s="1"/>
      <c r="C40" s="1"/>
      <c r="D40" s="1"/>
    </row>
    <row r="41" spans="1:4" ht="28.35" customHeight="1" x14ac:dyDescent="0.3">
      <c r="A41" s="1" t="s">
        <v>58</v>
      </c>
      <c r="B41" s="1"/>
      <c r="C41" s="1"/>
      <c r="D41" s="1"/>
    </row>
    <row r="42" spans="1:4" ht="28.35" customHeight="1" x14ac:dyDescent="0.3">
      <c r="A42" s="1" t="s">
        <v>59</v>
      </c>
      <c r="B42" s="1"/>
      <c r="C42" s="1"/>
      <c r="D42" s="1"/>
    </row>
    <row r="43" spans="1:4" ht="28.35" customHeight="1" x14ac:dyDescent="0.3">
      <c r="A43" s="1" t="s">
        <v>60</v>
      </c>
      <c r="B43" s="1"/>
      <c r="C43" s="1"/>
      <c r="D43" s="1"/>
    </row>
    <row r="44" spans="1:4" ht="28.35" customHeight="1" x14ac:dyDescent="0.3">
      <c r="A44" s="1" t="s">
        <v>61</v>
      </c>
      <c r="B44" s="1"/>
      <c r="C44" s="1"/>
      <c r="D44" s="1"/>
    </row>
  </sheetData>
  <mergeCells count="7">
    <mergeCell ref="A43:D43"/>
    <mergeCell ref="A44:D44"/>
    <mergeCell ref="A1:D1"/>
    <mergeCell ref="A3:C3"/>
    <mergeCell ref="A40:D40"/>
    <mergeCell ref="A41:D41"/>
    <mergeCell ref="A42:D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CASTRO BAJAnA  ARIEL OMAR</cp:lastModifiedBy>
  <cp:revision>1</cp:revision>
  <dcterms:created xsi:type="dcterms:W3CDTF">2026-08-05T01:23:21Z</dcterms:created>
  <dcterms:modified xsi:type="dcterms:W3CDTF">2026-08-05T05:51:55Z</dcterms:modified>
  <dc:language>en-US</dc:language>
</cp:coreProperties>
</file>